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Helpers" sheetId="2" state="visible" r:id="rId2"/>
    <sheet name="Hash" sheetId="3" state="visible" r:id="rId3"/>
    <sheet name="Nodes" sheetId="4" state="visible" r:id="rId4"/>
    <sheet name="Inputs" sheetId="5" state="visible" r:id="rId5"/>
    <sheet name="Rou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t="inlineStr">
        <is>
          <t>rounds</t>
        </is>
      </c>
      <c r="B1" t="n">
        <v>3</v>
      </c>
    </row>
    <row r="2">
      <c r="A2" t="inlineStr">
        <is>
          <t>batch_size</t>
        </is>
      </c>
      <c r="B2" t="n">
        <v>4</v>
      </c>
    </row>
    <row r="3">
      <c r="A3" t="inlineStr">
        <is>
          <t>forest_height</t>
        </is>
      </c>
      <c r="B3" t="n">
        <v>2</v>
      </c>
    </row>
    <row r="4">
      <c r="A4" t="inlineStr">
        <is>
          <t>n_nodes</t>
        </is>
      </c>
      <c r="B4">
        <f>2^(B3+1)-1</f>
        <v/>
      </c>
    </row>
    <row r="5">
      <c r="A5" t="inlineStr">
        <is>
          <t>mod32</t>
        </is>
      </c>
      <c r="B5" t="n">
        <v>4294967296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bit</t>
        </is>
      </c>
      <c r="B1" s="1" t="inlineStr">
        <is>
          <t>pow2</t>
        </is>
      </c>
    </row>
    <row r="2">
      <c r="A2" t="n">
        <v>0</v>
      </c>
      <c r="B2">
        <f>POWER(2, A2)</f>
        <v/>
      </c>
    </row>
    <row r="3">
      <c r="A3" t="n">
        <v>1</v>
      </c>
      <c r="B3">
        <f>POWER(2, A3)</f>
        <v/>
      </c>
    </row>
    <row r="4">
      <c r="A4" t="n">
        <v>2</v>
      </c>
      <c r="B4">
        <f>POWER(2, A4)</f>
        <v/>
      </c>
    </row>
    <row r="5">
      <c r="A5" t="n">
        <v>3</v>
      </c>
      <c r="B5">
        <f>POWER(2, A5)</f>
        <v/>
      </c>
    </row>
    <row r="6">
      <c r="A6" t="n">
        <v>4</v>
      </c>
      <c r="B6">
        <f>POWER(2, A6)</f>
        <v/>
      </c>
    </row>
    <row r="7">
      <c r="A7" t="n">
        <v>5</v>
      </c>
      <c r="B7">
        <f>POWER(2, A7)</f>
        <v/>
      </c>
    </row>
    <row r="8">
      <c r="A8" t="n">
        <v>6</v>
      </c>
      <c r="B8">
        <f>POWER(2, A8)</f>
        <v/>
      </c>
    </row>
    <row r="9">
      <c r="A9" t="n">
        <v>7</v>
      </c>
      <c r="B9">
        <f>POWER(2, A9)</f>
        <v/>
      </c>
    </row>
    <row r="10">
      <c r="A10" t="n">
        <v>8</v>
      </c>
      <c r="B10">
        <f>POWER(2, A10)</f>
        <v/>
      </c>
    </row>
    <row r="11">
      <c r="A11" t="n">
        <v>9</v>
      </c>
      <c r="B11">
        <f>POWER(2, A11)</f>
        <v/>
      </c>
    </row>
    <row r="12">
      <c r="A12" t="n">
        <v>10</v>
      </c>
      <c r="B12">
        <f>POWER(2, A12)</f>
        <v/>
      </c>
    </row>
    <row r="13">
      <c r="A13" t="n">
        <v>11</v>
      </c>
      <c r="B13">
        <f>POWER(2, A13)</f>
        <v/>
      </c>
    </row>
    <row r="14">
      <c r="A14" t="n">
        <v>12</v>
      </c>
      <c r="B14">
        <f>POWER(2, A14)</f>
        <v/>
      </c>
    </row>
    <row r="15">
      <c r="A15" t="n">
        <v>13</v>
      </c>
      <c r="B15">
        <f>POWER(2, A15)</f>
        <v/>
      </c>
    </row>
    <row r="16">
      <c r="A16" t="n">
        <v>14</v>
      </c>
      <c r="B16">
        <f>POWER(2, A16)</f>
        <v/>
      </c>
    </row>
    <row r="17">
      <c r="A17" t="n">
        <v>15</v>
      </c>
      <c r="B17">
        <f>POWER(2, A17)</f>
        <v/>
      </c>
    </row>
    <row r="18">
      <c r="A18" t="n">
        <v>16</v>
      </c>
      <c r="B18">
        <f>POWER(2, A18)</f>
        <v/>
      </c>
    </row>
    <row r="19">
      <c r="A19" t="n">
        <v>17</v>
      </c>
      <c r="B19">
        <f>POWER(2, A19)</f>
        <v/>
      </c>
    </row>
    <row r="20">
      <c r="A20" t="n">
        <v>18</v>
      </c>
      <c r="B20">
        <f>POWER(2, A20)</f>
        <v/>
      </c>
    </row>
    <row r="21">
      <c r="A21" t="n">
        <v>19</v>
      </c>
      <c r="B21">
        <f>POWER(2, A21)</f>
        <v/>
      </c>
    </row>
    <row r="22">
      <c r="A22" t="n">
        <v>20</v>
      </c>
      <c r="B22">
        <f>POWER(2, A22)</f>
        <v/>
      </c>
    </row>
    <row r="23">
      <c r="A23" t="n">
        <v>21</v>
      </c>
      <c r="B23">
        <f>POWER(2, A23)</f>
        <v/>
      </c>
    </row>
    <row r="24">
      <c r="A24" t="n">
        <v>22</v>
      </c>
      <c r="B24">
        <f>POWER(2, A24)</f>
        <v/>
      </c>
    </row>
    <row r="25">
      <c r="A25" t="n">
        <v>23</v>
      </c>
      <c r="B25">
        <f>POWER(2, A25)</f>
        <v/>
      </c>
    </row>
    <row r="26">
      <c r="A26" t="n">
        <v>24</v>
      </c>
      <c r="B26">
        <f>POWER(2, A26)</f>
        <v/>
      </c>
    </row>
    <row r="27">
      <c r="A27" t="n">
        <v>25</v>
      </c>
      <c r="B27">
        <f>POWER(2, A27)</f>
        <v/>
      </c>
    </row>
    <row r="28">
      <c r="A28" t="n">
        <v>26</v>
      </c>
      <c r="B28">
        <f>POWER(2, A28)</f>
        <v/>
      </c>
    </row>
    <row r="29">
      <c r="A29" t="n">
        <v>27</v>
      </c>
      <c r="B29">
        <f>POWER(2, A29)</f>
        <v/>
      </c>
    </row>
    <row r="30">
      <c r="A30" t="n">
        <v>28</v>
      </c>
      <c r="B30">
        <f>POWER(2, A30)</f>
        <v/>
      </c>
    </row>
    <row r="31">
      <c r="A31" t="n">
        <v>29</v>
      </c>
      <c r="B31">
        <f>POWER(2, A31)</f>
        <v/>
      </c>
    </row>
    <row r="32">
      <c r="A32" t="n">
        <v>30</v>
      </c>
      <c r="B32">
        <f>POWER(2, A32)</f>
        <v/>
      </c>
    </row>
    <row r="33">
      <c r="A33" t="n">
        <v>31</v>
      </c>
      <c r="B33">
        <f>POWER(2, A33)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stage</t>
        </is>
      </c>
      <c r="B1" s="1" t="inlineStr">
        <is>
          <t>op1</t>
        </is>
      </c>
      <c r="C1" s="1" t="inlineStr">
        <is>
          <t>val1_hex</t>
        </is>
      </c>
      <c r="D1" s="1" t="inlineStr">
        <is>
          <t>val1_dec</t>
        </is>
      </c>
      <c r="E1" s="1" t="inlineStr">
        <is>
          <t>op2</t>
        </is>
      </c>
      <c r="F1" s="1" t="inlineStr">
        <is>
          <t>op3</t>
        </is>
      </c>
      <c r="G1" s="1" t="inlineStr">
        <is>
          <t>val3</t>
        </is>
      </c>
    </row>
    <row r="2">
      <c r="A2" t="n">
        <v>0</v>
      </c>
      <c r="B2" t="inlineStr">
        <is>
          <t>+</t>
        </is>
      </c>
      <c r="C2" t="inlineStr">
        <is>
          <t>0x7ed55d16</t>
        </is>
      </c>
      <c r="D2" t="n">
        <v>2127912214</v>
      </c>
      <c r="E2" t="inlineStr">
        <is>
          <t>+</t>
        </is>
      </c>
      <c r="F2" t="inlineStr">
        <is>
          <t>&lt;&lt;</t>
        </is>
      </c>
      <c r="G2" t="n">
        <v>12</v>
      </c>
    </row>
    <row r="3">
      <c r="A3" t="n">
        <v>1</v>
      </c>
      <c r="B3" t="inlineStr">
        <is>
          <t>^</t>
        </is>
      </c>
      <c r="C3" t="inlineStr">
        <is>
          <t>0xc761c23c</t>
        </is>
      </c>
      <c r="D3" t="n">
        <v>3345072700</v>
      </c>
      <c r="E3" t="inlineStr">
        <is>
          <t>^</t>
        </is>
      </c>
      <c r="F3" t="inlineStr">
        <is>
          <t>&gt;&gt;</t>
        </is>
      </c>
      <c r="G3" t="n">
        <v>19</v>
      </c>
    </row>
    <row r="4">
      <c r="A4" t="n">
        <v>2</v>
      </c>
      <c r="B4" t="inlineStr">
        <is>
          <t>+</t>
        </is>
      </c>
      <c r="C4" t="inlineStr">
        <is>
          <t>0x165667b1</t>
        </is>
      </c>
      <c r="D4" t="n">
        <v>374761393</v>
      </c>
      <c r="E4" t="inlineStr">
        <is>
          <t>+</t>
        </is>
      </c>
      <c r="F4" t="inlineStr">
        <is>
          <t>&lt;&lt;</t>
        </is>
      </c>
      <c r="G4" t="n">
        <v>5</v>
      </c>
    </row>
    <row r="5">
      <c r="A5" t="n">
        <v>3</v>
      </c>
      <c r="B5" t="inlineStr">
        <is>
          <t>+</t>
        </is>
      </c>
      <c r="C5" t="inlineStr">
        <is>
          <t>0xd3a2646c</t>
        </is>
      </c>
      <c r="D5" t="n">
        <v>3550635116</v>
      </c>
      <c r="E5" t="inlineStr">
        <is>
          <t>^</t>
        </is>
      </c>
      <c r="F5" t="inlineStr">
        <is>
          <t>&lt;&lt;</t>
        </is>
      </c>
      <c r="G5" t="n">
        <v>9</v>
      </c>
    </row>
    <row r="6">
      <c r="A6" t="n">
        <v>4</v>
      </c>
      <c r="B6" t="inlineStr">
        <is>
          <t>+</t>
        </is>
      </c>
      <c r="C6" t="inlineStr">
        <is>
          <t>0xfd7046c5</t>
        </is>
      </c>
      <c r="D6" t="n">
        <v>4251993797</v>
      </c>
      <c r="E6" t="inlineStr">
        <is>
          <t>+</t>
        </is>
      </c>
      <c r="F6" t="inlineStr">
        <is>
          <t>&lt;&lt;</t>
        </is>
      </c>
      <c r="G6" t="n">
        <v>3</v>
      </c>
    </row>
    <row r="7">
      <c r="A7" t="n">
        <v>5</v>
      </c>
      <c r="B7" t="inlineStr">
        <is>
          <t>^</t>
        </is>
      </c>
      <c r="C7" t="inlineStr">
        <is>
          <t>0xb55a4f09</t>
        </is>
      </c>
      <c r="D7" t="n">
        <v>3042594569</v>
      </c>
      <c r="E7" t="inlineStr">
        <is>
          <t>^</t>
        </is>
      </c>
      <c r="F7" t="inlineStr">
        <is>
          <t>&gt;&gt;</t>
        </is>
      </c>
      <c r="G7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n">
        <v>11</v>
      </c>
    </row>
    <row r="3">
      <c r="A3" t="n">
        <v>1</v>
      </c>
      <c r="B3" t="n">
        <v>22</v>
      </c>
    </row>
    <row r="4">
      <c r="A4" t="n">
        <v>2</v>
      </c>
      <c r="B4" t="n">
        <v>33</v>
      </c>
    </row>
    <row r="5">
      <c r="A5" t="n">
        <v>3</v>
      </c>
      <c r="B5" t="n">
        <v>44</v>
      </c>
    </row>
    <row r="6">
      <c r="A6" t="n">
        <v>4</v>
      </c>
      <c r="B6" t="n">
        <v>55</v>
      </c>
    </row>
    <row r="7">
      <c r="A7" t="n">
        <v>5</v>
      </c>
      <c r="B7" t="n">
        <v>66</v>
      </c>
    </row>
    <row r="8">
      <c r="A8" t="n">
        <v>6</v>
      </c>
      <c r="B8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</t>
        </is>
      </c>
      <c r="B1" s="1" t="inlineStr">
        <is>
          <t>idx0</t>
        </is>
      </c>
      <c r="C1" s="1" t="inlineStr">
        <is>
          <t>val0</t>
        </is>
      </c>
    </row>
    <row r="2">
      <c r="A2" t="n">
        <v>0</v>
      </c>
      <c r="B2" t="n">
        <v>0</v>
      </c>
      <c r="C2" t="n">
        <v>1000</v>
      </c>
    </row>
    <row r="3">
      <c r="A3" t="n">
        <v>1</v>
      </c>
      <c r="B3" t="n">
        <v>0</v>
      </c>
      <c r="C3" t="n">
        <v>2000</v>
      </c>
    </row>
    <row r="4">
      <c r="A4" t="n">
        <v>2</v>
      </c>
      <c r="B4" t="n">
        <v>0</v>
      </c>
      <c r="C4" t="n">
        <v>3000</v>
      </c>
    </row>
    <row r="5">
      <c r="A5" t="n">
        <v>3</v>
      </c>
      <c r="B5" t="n">
        <v>0</v>
      </c>
      <c r="C5" t="n">
        <v>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round</t>
        </is>
      </c>
      <c r="B1" s="1" t="inlineStr">
        <is>
          <t>i</t>
        </is>
      </c>
      <c r="C1" s="1" t="inlineStr">
        <is>
          <t>idx_in</t>
        </is>
      </c>
      <c r="D1" s="1" t="inlineStr">
        <is>
          <t>val_in</t>
        </is>
      </c>
      <c r="E1" s="1" t="inlineStr">
        <is>
          <t>node_val</t>
        </is>
      </c>
      <c r="F1" s="1" t="inlineStr">
        <is>
          <t>xor_val</t>
        </is>
      </c>
      <c r="G1" s="1" t="inlineStr">
        <is>
          <t>stage0</t>
        </is>
      </c>
      <c r="H1" s="1" t="inlineStr">
        <is>
          <t>stage1</t>
        </is>
      </c>
      <c r="I1" s="1" t="inlineStr">
        <is>
          <t>stage2</t>
        </is>
      </c>
      <c r="J1" s="1" t="inlineStr">
        <is>
          <t>stage3</t>
        </is>
      </c>
      <c r="K1" s="1" t="inlineStr">
        <is>
          <t>stage4</t>
        </is>
      </c>
      <c r="L1" s="1" t="inlineStr">
        <is>
          <t>stage5</t>
        </is>
      </c>
      <c r="M1" s="1" t="inlineStr">
        <is>
          <t>hashed_val</t>
        </is>
      </c>
      <c r="N1" s="1" t="inlineStr">
        <is>
          <t>next_idx</t>
        </is>
      </c>
      <c r="O1" s="1" t="inlineStr">
        <is>
          <t>wrapped_idx</t>
        </is>
      </c>
    </row>
    <row r="2">
      <c r="A2">
        <f>INT((ROW()-2)/Config!$B$2)</f>
        <v/>
      </c>
      <c r="B2">
        <f>MOD(ROW()-2, Config!$B$2)</f>
        <v/>
      </c>
      <c r="C2">
        <f>IF($A2=0, INDEX(Inputs!$B$2:$B$100, $B2+1), INDEX($O:$O, ROW()-Config!$B$2))</f>
        <v/>
      </c>
      <c r="D2">
        <f>IF($A2=0, INDEX(Inputs!$C$2:$C$100, $B2+1), INDEX($M:$M, ROW()-Config!$B$2))</f>
        <v/>
      </c>
      <c r="E2">
        <f>INDEX(Nodes!$B$2:$B$100, $C2+1)</f>
        <v/>
      </c>
      <c r="F2">
        <f>MOD(SUMPRODUCT(MOD(MOD(INT($D2/Helpers!$B$2:$B$33),2)+MOD(INT($E2/Helpers!$B$2:$B$33),2),2)*Helpers!$B$2:$B$33), Config!$B$5)</f>
        <v/>
      </c>
      <c r="G2">
        <f>MOD(MOD($F2 + Hash!$D$2, Config!$B$5) + MOD($F2 * POWER(2, Hash!$G$2), Config!$B$5), Config!$B$5)</f>
        <v/>
      </c>
      <c r="H2">
        <f>MOD(SUMPRODUCT(MOD(MOD(INT(SUMPRODUCT(MOD(MOD(INT($G2/Helpers!$B$2:$B$33),2)+MOD(INT(Hash!$D$3/Helpers!$B$2:$B$33),2),2)*Helpers!$B$2:$B$33)/Helpers!$B$2:$B$33),2)+MOD(INT(INT($G2/POWER(2, Hash!$G$3))/Helpers!$B$2:$B$33),2),2)*Helpers!$B$2:$B$33), Config!$B$5)</f>
        <v/>
      </c>
      <c r="I2">
        <f>MOD(MOD($H2 + Hash!$D$4, Config!$B$5) + MOD($H2 * POWER(2, Hash!$G$4), Config!$B$5), Config!$B$5)</f>
        <v/>
      </c>
      <c r="J2">
        <f>MOD(SUMPRODUCT(MOD(MOD(INT(MOD($I2 + Hash!$D$5, Config!$B$5)/Helpers!$B$2:$B$33),2)+MOD(INT(MOD($I2 * POWER(2, Hash!$G$5), Config!$B$5)/Helpers!$B$2:$B$33),2),2)*Helpers!$B$2:$B$33), Config!$B$5)</f>
        <v/>
      </c>
      <c r="K2">
        <f>MOD(MOD($J2 + Hash!$D$6, Config!$B$5) + MOD($J2 * POWER(2, Hash!$G$6), Config!$B$5), Config!$B$5)</f>
        <v/>
      </c>
      <c r="L2">
        <f>MOD(SUMPRODUCT(MOD(MOD(INT(SUMPRODUCT(MOD(MOD(INT($K2/Helpers!$B$2:$B$33),2)+MOD(INT(Hash!$D$7/Helpers!$B$2:$B$33),2),2)*Helpers!$B$2:$B$33)/Helpers!$B$2:$B$33),2)+MOD(INT(INT($K2/POWER(2, Hash!$G$7))/Helpers!$B$2:$B$33),2),2)*Helpers!$B$2:$B$33), Config!$B$5)</f>
        <v/>
      </c>
      <c r="M2">
        <f>$L2</f>
        <v/>
      </c>
      <c r="N2">
        <f>2*$C2 + IF(MOD($M2, 2)=0, 1, 2)</f>
        <v/>
      </c>
      <c r="O2">
        <f>IF($N2 &gt;= Config!$B$4, 0, $N2)</f>
        <v/>
      </c>
    </row>
    <row r="3">
      <c r="A3">
        <f>INT((ROW()-2)/Config!$B$2)</f>
        <v/>
      </c>
      <c r="B3">
        <f>MOD(ROW()-2, Config!$B$2)</f>
        <v/>
      </c>
      <c r="C3">
        <f>IF($A3=0, INDEX(Inputs!$B$2:$B$100, $B3+1), INDEX($O:$O, ROW()-Config!$B$2))</f>
        <v/>
      </c>
      <c r="D3">
        <f>IF($A3=0, INDEX(Inputs!$C$2:$C$100, $B3+1), INDEX($M:$M, ROW()-Config!$B$2))</f>
        <v/>
      </c>
      <c r="E3">
        <f>INDEX(Nodes!$B$2:$B$100, $C3+1)</f>
        <v/>
      </c>
      <c r="F3">
        <f>MOD(SUMPRODUCT(MOD(MOD(INT($D3/Helpers!$B$2:$B$33),2)+MOD(INT($E3/Helpers!$B$2:$B$33),2),2)*Helpers!$B$2:$B$33), Config!$B$5)</f>
        <v/>
      </c>
      <c r="G3">
        <f>MOD(MOD($F3 + Hash!$D$2, Config!$B$5) + MOD($F3 * POWER(2, Hash!$G$2), Config!$B$5), Config!$B$5)</f>
        <v/>
      </c>
      <c r="H3">
        <f>MOD(SUMPRODUCT(MOD(MOD(INT(SUMPRODUCT(MOD(MOD(INT($G3/Helpers!$B$2:$B$33),2)+MOD(INT(Hash!$D$3/Helpers!$B$2:$B$33),2),2)*Helpers!$B$2:$B$33)/Helpers!$B$2:$B$33),2)+MOD(INT(INT($G3/POWER(2, Hash!$G$3))/Helpers!$B$2:$B$33),2),2)*Helpers!$B$2:$B$33), Config!$B$5)</f>
        <v/>
      </c>
      <c r="I3">
        <f>MOD(MOD($H3 + Hash!$D$4, Config!$B$5) + MOD($H3 * POWER(2, Hash!$G$4), Config!$B$5), Config!$B$5)</f>
        <v/>
      </c>
      <c r="J3">
        <f>MOD(SUMPRODUCT(MOD(MOD(INT(MOD($I3 + Hash!$D$5, Config!$B$5)/Helpers!$B$2:$B$33),2)+MOD(INT(MOD($I3 * POWER(2, Hash!$G$5), Config!$B$5)/Helpers!$B$2:$B$33),2),2)*Helpers!$B$2:$B$33), Config!$B$5)</f>
        <v/>
      </c>
      <c r="K3">
        <f>MOD(MOD($J3 + Hash!$D$6, Config!$B$5) + MOD($J3 * POWER(2, Hash!$G$6), Config!$B$5), Config!$B$5)</f>
        <v/>
      </c>
      <c r="L3">
        <f>MOD(SUMPRODUCT(MOD(MOD(INT(SUMPRODUCT(MOD(MOD(INT($K3/Helpers!$B$2:$B$33),2)+MOD(INT(Hash!$D$7/Helpers!$B$2:$B$33),2),2)*Helpers!$B$2:$B$33)/Helpers!$B$2:$B$33),2)+MOD(INT(INT($K3/POWER(2, Hash!$G$7))/Helpers!$B$2:$B$33),2),2)*Helpers!$B$2:$B$33), Config!$B$5)</f>
        <v/>
      </c>
      <c r="M3">
        <f>$L3</f>
        <v/>
      </c>
      <c r="N3">
        <f>2*$C3 + IF(MOD($M3, 2)=0, 1, 2)</f>
        <v/>
      </c>
      <c r="O3">
        <f>IF($N3 &gt;= Config!$B$4, 0, $N3)</f>
        <v/>
      </c>
    </row>
    <row r="4">
      <c r="A4">
        <f>INT((ROW()-2)/Config!$B$2)</f>
        <v/>
      </c>
      <c r="B4">
        <f>MOD(ROW()-2, Config!$B$2)</f>
        <v/>
      </c>
      <c r="C4">
        <f>IF($A4=0, INDEX(Inputs!$B$2:$B$100, $B4+1), INDEX($O:$O, ROW()-Config!$B$2))</f>
        <v/>
      </c>
      <c r="D4">
        <f>IF($A4=0, INDEX(Inputs!$C$2:$C$100, $B4+1), INDEX($M:$M, ROW()-Config!$B$2))</f>
        <v/>
      </c>
      <c r="E4">
        <f>INDEX(Nodes!$B$2:$B$100, $C4+1)</f>
        <v/>
      </c>
      <c r="F4">
        <f>MOD(SUMPRODUCT(MOD(MOD(INT($D4/Helpers!$B$2:$B$33),2)+MOD(INT($E4/Helpers!$B$2:$B$33),2),2)*Helpers!$B$2:$B$33), Config!$B$5)</f>
        <v/>
      </c>
      <c r="G4">
        <f>MOD(MOD($F4 + Hash!$D$2, Config!$B$5) + MOD($F4 * POWER(2, Hash!$G$2), Config!$B$5), Config!$B$5)</f>
        <v/>
      </c>
      <c r="H4">
        <f>MOD(SUMPRODUCT(MOD(MOD(INT(SUMPRODUCT(MOD(MOD(INT($G4/Helpers!$B$2:$B$33),2)+MOD(INT(Hash!$D$3/Helpers!$B$2:$B$33),2),2)*Helpers!$B$2:$B$33)/Helpers!$B$2:$B$33),2)+MOD(INT(INT($G4/POWER(2, Hash!$G$3))/Helpers!$B$2:$B$33),2),2)*Helpers!$B$2:$B$33), Config!$B$5)</f>
        <v/>
      </c>
      <c r="I4">
        <f>MOD(MOD($H4 + Hash!$D$4, Config!$B$5) + MOD($H4 * POWER(2, Hash!$G$4), Config!$B$5), Config!$B$5)</f>
        <v/>
      </c>
      <c r="J4">
        <f>MOD(SUMPRODUCT(MOD(MOD(INT(MOD($I4 + Hash!$D$5, Config!$B$5)/Helpers!$B$2:$B$33),2)+MOD(INT(MOD($I4 * POWER(2, Hash!$G$5), Config!$B$5)/Helpers!$B$2:$B$33),2),2)*Helpers!$B$2:$B$33), Config!$B$5)</f>
        <v/>
      </c>
      <c r="K4">
        <f>MOD(MOD($J4 + Hash!$D$6, Config!$B$5) + MOD($J4 * POWER(2, Hash!$G$6), Config!$B$5), Config!$B$5)</f>
        <v/>
      </c>
      <c r="L4">
        <f>MOD(SUMPRODUCT(MOD(MOD(INT(SUMPRODUCT(MOD(MOD(INT($K4/Helpers!$B$2:$B$33),2)+MOD(INT(Hash!$D$7/Helpers!$B$2:$B$33),2),2)*Helpers!$B$2:$B$33)/Helpers!$B$2:$B$33),2)+MOD(INT(INT($K4/POWER(2, Hash!$G$7))/Helpers!$B$2:$B$33),2),2)*Helpers!$B$2:$B$33), Config!$B$5)</f>
        <v/>
      </c>
      <c r="M4">
        <f>$L4</f>
        <v/>
      </c>
      <c r="N4">
        <f>2*$C4 + IF(MOD($M4, 2)=0, 1, 2)</f>
        <v/>
      </c>
      <c r="O4">
        <f>IF($N4 &gt;= Config!$B$4, 0, $N4)</f>
        <v/>
      </c>
    </row>
    <row r="5">
      <c r="A5">
        <f>INT((ROW()-2)/Config!$B$2)</f>
        <v/>
      </c>
      <c r="B5">
        <f>MOD(ROW()-2, Config!$B$2)</f>
        <v/>
      </c>
      <c r="C5">
        <f>IF($A5=0, INDEX(Inputs!$B$2:$B$100, $B5+1), INDEX($O:$O, ROW()-Config!$B$2))</f>
        <v/>
      </c>
      <c r="D5">
        <f>IF($A5=0, INDEX(Inputs!$C$2:$C$100, $B5+1), INDEX($M:$M, ROW()-Config!$B$2))</f>
        <v/>
      </c>
      <c r="E5">
        <f>INDEX(Nodes!$B$2:$B$100, $C5+1)</f>
        <v/>
      </c>
      <c r="F5">
        <f>MOD(SUMPRODUCT(MOD(MOD(INT($D5/Helpers!$B$2:$B$33),2)+MOD(INT($E5/Helpers!$B$2:$B$33),2),2)*Helpers!$B$2:$B$33), Config!$B$5)</f>
        <v/>
      </c>
      <c r="G5">
        <f>MOD(MOD($F5 + Hash!$D$2, Config!$B$5) + MOD($F5 * POWER(2, Hash!$G$2), Config!$B$5), Config!$B$5)</f>
        <v/>
      </c>
      <c r="H5">
        <f>MOD(SUMPRODUCT(MOD(MOD(INT(SUMPRODUCT(MOD(MOD(INT($G5/Helpers!$B$2:$B$33),2)+MOD(INT(Hash!$D$3/Helpers!$B$2:$B$33),2),2)*Helpers!$B$2:$B$33)/Helpers!$B$2:$B$33),2)+MOD(INT(INT($G5/POWER(2, Hash!$G$3))/Helpers!$B$2:$B$33),2),2)*Helpers!$B$2:$B$33), Config!$B$5)</f>
        <v/>
      </c>
      <c r="I5">
        <f>MOD(MOD($H5 + Hash!$D$4, Config!$B$5) + MOD($H5 * POWER(2, Hash!$G$4), Config!$B$5), Config!$B$5)</f>
        <v/>
      </c>
      <c r="J5">
        <f>MOD(SUMPRODUCT(MOD(MOD(INT(MOD($I5 + Hash!$D$5, Config!$B$5)/Helpers!$B$2:$B$33),2)+MOD(INT(MOD($I5 * POWER(2, Hash!$G$5), Config!$B$5)/Helpers!$B$2:$B$33),2),2)*Helpers!$B$2:$B$33), Config!$B$5)</f>
        <v/>
      </c>
      <c r="K5">
        <f>MOD(MOD($J5 + Hash!$D$6, Config!$B$5) + MOD($J5 * POWER(2, Hash!$G$6), Config!$B$5), Config!$B$5)</f>
        <v/>
      </c>
      <c r="L5">
        <f>MOD(SUMPRODUCT(MOD(MOD(INT(SUMPRODUCT(MOD(MOD(INT($K5/Helpers!$B$2:$B$33),2)+MOD(INT(Hash!$D$7/Helpers!$B$2:$B$33),2),2)*Helpers!$B$2:$B$33)/Helpers!$B$2:$B$33),2)+MOD(INT(INT($K5/POWER(2, Hash!$G$7))/Helpers!$B$2:$B$33),2),2)*Helpers!$B$2:$B$33), Config!$B$5)</f>
        <v/>
      </c>
      <c r="M5">
        <f>$L5</f>
        <v/>
      </c>
      <c r="N5">
        <f>2*$C5 + IF(MOD($M5, 2)=0, 1, 2)</f>
        <v/>
      </c>
      <c r="O5">
        <f>IF($N5 &gt;= Config!$B$4, 0, $N5)</f>
        <v/>
      </c>
    </row>
    <row r="6">
      <c r="A6">
        <f>INT((ROW()-2)/Config!$B$2)</f>
        <v/>
      </c>
      <c r="B6">
        <f>MOD(ROW()-2, Config!$B$2)</f>
        <v/>
      </c>
      <c r="C6">
        <f>IF($A6=0, INDEX(Inputs!$B$2:$B$100, $B6+1), INDEX($O:$O, ROW()-Config!$B$2))</f>
        <v/>
      </c>
      <c r="D6">
        <f>IF($A6=0, INDEX(Inputs!$C$2:$C$100, $B6+1), INDEX($M:$M, ROW()-Config!$B$2))</f>
        <v/>
      </c>
      <c r="E6">
        <f>INDEX(Nodes!$B$2:$B$100, $C6+1)</f>
        <v/>
      </c>
      <c r="F6">
        <f>MOD(SUMPRODUCT(MOD(MOD(INT($D6/Helpers!$B$2:$B$33),2)+MOD(INT($E6/Helpers!$B$2:$B$33),2),2)*Helpers!$B$2:$B$33), Config!$B$5)</f>
        <v/>
      </c>
      <c r="G6">
        <f>MOD(MOD($F6 + Hash!$D$2, Config!$B$5) + MOD($F6 * POWER(2, Hash!$G$2), Config!$B$5), Config!$B$5)</f>
        <v/>
      </c>
      <c r="H6">
        <f>MOD(SUMPRODUCT(MOD(MOD(INT(SUMPRODUCT(MOD(MOD(INT($G6/Helpers!$B$2:$B$33),2)+MOD(INT(Hash!$D$3/Helpers!$B$2:$B$33),2),2)*Helpers!$B$2:$B$33)/Helpers!$B$2:$B$33),2)+MOD(INT(INT($G6/POWER(2, Hash!$G$3))/Helpers!$B$2:$B$33),2),2)*Helpers!$B$2:$B$33), Config!$B$5)</f>
        <v/>
      </c>
      <c r="I6">
        <f>MOD(MOD($H6 + Hash!$D$4, Config!$B$5) + MOD($H6 * POWER(2, Hash!$G$4), Config!$B$5), Config!$B$5)</f>
        <v/>
      </c>
      <c r="J6">
        <f>MOD(SUMPRODUCT(MOD(MOD(INT(MOD($I6 + Hash!$D$5, Config!$B$5)/Helpers!$B$2:$B$33),2)+MOD(INT(MOD($I6 * POWER(2, Hash!$G$5), Config!$B$5)/Helpers!$B$2:$B$33),2),2)*Helpers!$B$2:$B$33), Config!$B$5)</f>
        <v/>
      </c>
      <c r="K6">
        <f>MOD(MOD($J6 + Hash!$D$6, Config!$B$5) + MOD($J6 * POWER(2, Hash!$G$6), Config!$B$5), Config!$B$5)</f>
        <v/>
      </c>
      <c r="L6">
        <f>MOD(SUMPRODUCT(MOD(MOD(INT(SUMPRODUCT(MOD(MOD(INT($K6/Helpers!$B$2:$B$33),2)+MOD(INT(Hash!$D$7/Helpers!$B$2:$B$33),2),2)*Helpers!$B$2:$B$33)/Helpers!$B$2:$B$33),2)+MOD(INT(INT($K6/POWER(2, Hash!$G$7))/Helpers!$B$2:$B$33),2),2)*Helpers!$B$2:$B$33), Config!$B$5)</f>
        <v/>
      </c>
      <c r="M6">
        <f>$L6</f>
        <v/>
      </c>
      <c r="N6">
        <f>2*$C6 + IF(MOD($M6, 2)=0, 1, 2)</f>
        <v/>
      </c>
      <c r="O6">
        <f>IF($N6 &gt;= Config!$B$4, 0, $N6)</f>
        <v/>
      </c>
    </row>
    <row r="7">
      <c r="A7">
        <f>INT((ROW()-2)/Config!$B$2)</f>
        <v/>
      </c>
      <c r="B7">
        <f>MOD(ROW()-2, Config!$B$2)</f>
        <v/>
      </c>
      <c r="C7">
        <f>IF($A7=0, INDEX(Inputs!$B$2:$B$100, $B7+1), INDEX($O:$O, ROW()-Config!$B$2))</f>
        <v/>
      </c>
      <c r="D7">
        <f>IF($A7=0, INDEX(Inputs!$C$2:$C$100, $B7+1), INDEX($M:$M, ROW()-Config!$B$2))</f>
        <v/>
      </c>
      <c r="E7">
        <f>INDEX(Nodes!$B$2:$B$100, $C7+1)</f>
        <v/>
      </c>
      <c r="F7">
        <f>MOD(SUMPRODUCT(MOD(MOD(INT($D7/Helpers!$B$2:$B$33),2)+MOD(INT($E7/Helpers!$B$2:$B$33),2),2)*Helpers!$B$2:$B$33), Config!$B$5)</f>
        <v/>
      </c>
      <c r="G7">
        <f>MOD(MOD($F7 + Hash!$D$2, Config!$B$5) + MOD($F7 * POWER(2, Hash!$G$2), Config!$B$5), Config!$B$5)</f>
        <v/>
      </c>
      <c r="H7">
        <f>MOD(SUMPRODUCT(MOD(MOD(INT(SUMPRODUCT(MOD(MOD(INT($G7/Helpers!$B$2:$B$33),2)+MOD(INT(Hash!$D$3/Helpers!$B$2:$B$33),2),2)*Helpers!$B$2:$B$33)/Helpers!$B$2:$B$33),2)+MOD(INT(INT($G7/POWER(2, Hash!$G$3))/Helpers!$B$2:$B$33),2),2)*Helpers!$B$2:$B$33), Config!$B$5)</f>
        <v/>
      </c>
      <c r="I7">
        <f>MOD(MOD($H7 + Hash!$D$4, Config!$B$5) + MOD($H7 * POWER(2, Hash!$G$4), Config!$B$5), Config!$B$5)</f>
        <v/>
      </c>
      <c r="J7">
        <f>MOD(SUMPRODUCT(MOD(MOD(INT(MOD($I7 + Hash!$D$5, Config!$B$5)/Helpers!$B$2:$B$33),2)+MOD(INT(MOD($I7 * POWER(2, Hash!$G$5), Config!$B$5)/Helpers!$B$2:$B$33),2),2)*Helpers!$B$2:$B$33), Config!$B$5)</f>
        <v/>
      </c>
      <c r="K7">
        <f>MOD(MOD($J7 + Hash!$D$6, Config!$B$5) + MOD($J7 * POWER(2, Hash!$G$6), Config!$B$5), Config!$B$5)</f>
        <v/>
      </c>
      <c r="L7">
        <f>MOD(SUMPRODUCT(MOD(MOD(INT(SUMPRODUCT(MOD(MOD(INT($K7/Helpers!$B$2:$B$33),2)+MOD(INT(Hash!$D$7/Helpers!$B$2:$B$33),2),2)*Helpers!$B$2:$B$33)/Helpers!$B$2:$B$33),2)+MOD(INT(INT($K7/POWER(2, Hash!$G$7))/Helpers!$B$2:$B$33),2),2)*Helpers!$B$2:$B$33), Config!$B$5)</f>
        <v/>
      </c>
      <c r="M7">
        <f>$L7</f>
        <v/>
      </c>
      <c r="N7">
        <f>2*$C7 + IF(MOD($M7, 2)=0, 1, 2)</f>
        <v/>
      </c>
      <c r="O7">
        <f>IF($N7 &gt;= Config!$B$4, 0, $N7)</f>
        <v/>
      </c>
    </row>
    <row r="8">
      <c r="A8">
        <f>INT((ROW()-2)/Config!$B$2)</f>
        <v/>
      </c>
      <c r="B8">
        <f>MOD(ROW()-2, Config!$B$2)</f>
        <v/>
      </c>
      <c r="C8">
        <f>IF($A8=0, INDEX(Inputs!$B$2:$B$100, $B8+1), INDEX($O:$O, ROW()-Config!$B$2))</f>
        <v/>
      </c>
      <c r="D8">
        <f>IF($A8=0, INDEX(Inputs!$C$2:$C$100, $B8+1), INDEX($M:$M, ROW()-Config!$B$2))</f>
        <v/>
      </c>
      <c r="E8">
        <f>INDEX(Nodes!$B$2:$B$100, $C8+1)</f>
        <v/>
      </c>
      <c r="F8">
        <f>MOD(SUMPRODUCT(MOD(MOD(INT($D8/Helpers!$B$2:$B$33),2)+MOD(INT($E8/Helpers!$B$2:$B$33),2),2)*Helpers!$B$2:$B$33), Config!$B$5)</f>
        <v/>
      </c>
      <c r="G8">
        <f>MOD(MOD($F8 + Hash!$D$2, Config!$B$5) + MOD($F8 * POWER(2, Hash!$G$2), Config!$B$5), Config!$B$5)</f>
        <v/>
      </c>
      <c r="H8">
        <f>MOD(SUMPRODUCT(MOD(MOD(INT(SUMPRODUCT(MOD(MOD(INT($G8/Helpers!$B$2:$B$33),2)+MOD(INT(Hash!$D$3/Helpers!$B$2:$B$33),2),2)*Helpers!$B$2:$B$33)/Helpers!$B$2:$B$33),2)+MOD(INT(INT($G8/POWER(2, Hash!$G$3))/Helpers!$B$2:$B$33),2),2)*Helpers!$B$2:$B$33), Config!$B$5)</f>
        <v/>
      </c>
      <c r="I8">
        <f>MOD(MOD($H8 + Hash!$D$4, Config!$B$5) + MOD($H8 * POWER(2, Hash!$G$4), Config!$B$5), Config!$B$5)</f>
        <v/>
      </c>
      <c r="J8">
        <f>MOD(SUMPRODUCT(MOD(MOD(INT(MOD($I8 + Hash!$D$5, Config!$B$5)/Helpers!$B$2:$B$33),2)+MOD(INT(MOD($I8 * POWER(2, Hash!$G$5), Config!$B$5)/Helpers!$B$2:$B$33),2),2)*Helpers!$B$2:$B$33), Config!$B$5)</f>
        <v/>
      </c>
      <c r="K8">
        <f>MOD(MOD($J8 + Hash!$D$6, Config!$B$5) + MOD($J8 * POWER(2, Hash!$G$6), Config!$B$5), Config!$B$5)</f>
        <v/>
      </c>
      <c r="L8">
        <f>MOD(SUMPRODUCT(MOD(MOD(INT(SUMPRODUCT(MOD(MOD(INT($K8/Helpers!$B$2:$B$33),2)+MOD(INT(Hash!$D$7/Helpers!$B$2:$B$33),2),2)*Helpers!$B$2:$B$33)/Helpers!$B$2:$B$33),2)+MOD(INT(INT($K8/POWER(2, Hash!$G$7))/Helpers!$B$2:$B$33),2),2)*Helpers!$B$2:$B$33), Config!$B$5)</f>
        <v/>
      </c>
      <c r="M8">
        <f>$L8</f>
        <v/>
      </c>
      <c r="N8">
        <f>2*$C8 + IF(MOD($M8, 2)=0, 1, 2)</f>
        <v/>
      </c>
      <c r="O8">
        <f>IF($N8 &gt;= Config!$B$4, 0, $N8)</f>
        <v/>
      </c>
    </row>
    <row r="9">
      <c r="A9">
        <f>INT((ROW()-2)/Config!$B$2)</f>
        <v/>
      </c>
      <c r="B9">
        <f>MOD(ROW()-2, Config!$B$2)</f>
        <v/>
      </c>
      <c r="C9">
        <f>IF($A9=0, INDEX(Inputs!$B$2:$B$100, $B9+1), INDEX($O:$O, ROW()-Config!$B$2))</f>
        <v/>
      </c>
      <c r="D9">
        <f>IF($A9=0, INDEX(Inputs!$C$2:$C$100, $B9+1), INDEX($M:$M, ROW()-Config!$B$2))</f>
        <v/>
      </c>
      <c r="E9">
        <f>INDEX(Nodes!$B$2:$B$100, $C9+1)</f>
        <v/>
      </c>
      <c r="F9">
        <f>MOD(SUMPRODUCT(MOD(MOD(INT($D9/Helpers!$B$2:$B$33),2)+MOD(INT($E9/Helpers!$B$2:$B$33),2),2)*Helpers!$B$2:$B$33), Config!$B$5)</f>
        <v/>
      </c>
      <c r="G9">
        <f>MOD(MOD($F9 + Hash!$D$2, Config!$B$5) + MOD($F9 * POWER(2, Hash!$G$2), Config!$B$5), Config!$B$5)</f>
        <v/>
      </c>
      <c r="H9">
        <f>MOD(SUMPRODUCT(MOD(MOD(INT(SUMPRODUCT(MOD(MOD(INT($G9/Helpers!$B$2:$B$33),2)+MOD(INT(Hash!$D$3/Helpers!$B$2:$B$33),2),2)*Helpers!$B$2:$B$33)/Helpers!$B$2:$B$33),2)+MOD(INT(INT($G9/POWER(2, Hash!$G$3))/Helpers!$B$2:$B$33),2),2)*Helpers!$B$2:$B$33), Config!$B$5)</f>
        <v/>
      </c>
      <c r="I9">
        <f>MOD(MOD($H9 + Hash!$D$4, Config!$B$5) + MOD($H9 * POWER(2, Hash!$G$4), Config!$B$5), Config!$B$5)</f>
        <v/>
      </c>
      <c r="J9">
        <f>MOD(SUMPRODUCT(MOD(MOD(INT(MOD($I9 + Hash!$D$5, Config!$B$5)/Helpers!$B$2:$B$33),2)+MOD(INT(MOD($I9 * POWER(2, Hash!$G$5), Config!$B$5)/Helpers!$B$2:$B$33),2),2)*Helpers!$B$2:$B$33), Config!$B$5)</f>
        <v/>
      </c>
      <c r="K9">
        <f>MOD(MOD($J9 + Hash!$D$6, Config!$B$5) + MOD($J9 * POWER(2, Hash!$G$6), Config!$B$5), Config!$B$5)</f>
        <v/>
      </c>
      <c r="L9">
        <f>MOD(SUMPRODUCT(MOD(MOD(INT(SUMPRODUCT(MOD(MOD(INT($K9/Helpers!$B$2:$B$33),2)+MOD(INT(Hash!$D$7/Helpers!$B$2:$B$33),2),2)*Helpers!$B$2:$B$33)/Helpers!$B$2:$B$33),2)+MOD(INT(INT($K9/POWER(2, Hash!$G$7))/Helpers!$B$2:$B$33),2),2)*Helpers!$B$2:$B$33), Config!$B$5)</f>
        <v/>
      </c>
      <c r="M9">
        <f>$L9</f>
        <v/>
      </c>
      <c r="N9">
        <f>2*$C9 + IF(MOD($M9, 2)=0, 1, 2)</f>
        <v/>
      </c>
      <c r="O9">
        <f>IF($N9 &gt;= Config!$B$4, 0, $N9)</f>
        <v/>
      </c>
    </row>
    <row r="10">
      <c r="A10">
        <f>INT((ROW()-2)/Config!$B$2)</f>
        <v/>
      </c>
      <c r="B10">
        <f>MOD(ROW()-2, Config!$B$2)</f>
        <v/>
      </c>
      <c r="C10">
        <f>IF($A10=0, INDEX(Inputs!$B$2:$B$100, $B10+1), INDEX($O:$O, ROW()-Config!$B$2))</f>
        <v/>
      </c>
      <c r="D10">
        <f>IF($A10=0, INDEX(Inputs!$C$2:$C$100, $B10+1), INDEX($M:$M, ROW()-Config!$B$2))</f>
        <v/>
      </c>
      <c r="E10">
        <f>INDEX(Nodes!$B$2:$B$100, $C10+1)</f>
        <v/>
      </c>
      <c r="F10">
        <f>MOD(SUMPRODUCT(MOD(MOD(INT($D10/Helpers!$B$2:$B$33),2)+MOD(INT($E10/Helpers!$B$2:$B$33),2),2)*Helpers!$B$2:$B$33), Config!$B$5)</f>
        <v/>
      </c>
      <c r="G10">
        <f>MOD(MOD($F10 + Hash!$D$2, Config!$B$5) + MOD($F10 * POWER(2, Hash!$G$2), Config!$B$5), Config!$B$5)</f>
        <v/>
      </c>
      <c r="H10">
        <f>MOD(SUMPRODUCT(MOD(MOD(INT(SUMPRODUCT(MOD(MOD(INT($G10/Helpers!$B$2:$B$33),2)+MOD(INT(Hash!$D$3/Helpers!$B$2:$B$33),2),2)*Helpers!$B$2:$B$33)/Helpers!$B$2:$B$33),2)+MOD(INT(INT($G10/POWER(2, Hash!$G$3))/Helpers!$B$2:$B$33),2),2)*Helpers!$B$2:$B$33), Config!$B$5)</f>
        <v/>
      </c>
      <c r="I10">
        <f>MOD(MOD($H10 + Hash!$D$4, Config!$B$5) + MOD($H10 * POWER(2, Hash!$G$4), Config!$B$5), Config!$B$5)</f>
        <v/>
      </c>
      <c r="J10">
        <f>MOD(SUMPRODUCT(MOD(MOD(INT(MOD($I10 + Hash!$D$5, Config!$B$5)/Helpers!$B$2:$B$33),2)+MOD(INT(MOD($I10 * POWER(2, Hash!$G$5), Config!$B$5)/Helpers!$B$2:$B$33),2),2)*Helpers!$B$2:$B$33), Config!$B$5)</f>
        <v/>
      </c>
      <c r="K10">
        <f>MOD(MOD($J10 + Hash!$D$6, Config!$B$5) + MOD($J10 * POWER(2, Hash!$G$6), Config!$B$5), Config!$B$5)</f>
        <v/>
      </c>
      <c r="L10">
        <f>MOD(SUMPRODUCT(MOD(MOD(INT(SUMPRODUCT(MOD(MOD(INT($K10/Helpers!$B$2:$B$33),2)+MOD(INT(Hash!$D$7/Helpers!$B$2:$B$33),2),2)*Helpers!$B$2:$B$33)/Helpers!$B$2:$B$33),2)+MOD(INT(INT($K10/POWER(2, Hash!$G$7))/Helpers!$B$2:$B$33),2),2)*Helpers!$B$2:$B$33), Config!$B$5)</f>
        <v/>
      </c>
      <c r="M10">
        <f>$L10</f>
        <v/>
      </c>
      <c r="N10">
        <f>2*$C10 + IF(MOD($M10, 2)=0, 1, 2)</f>
        <v/>
      </c>
      <c r="O10">
        <f>IF($N10 &gt;= Config!$B$4, 0, $N10)</f>
        <v/>
      </c>
    </row>
    <row r="11">
      <c r="A11">
        <f>INT((ROW()-2)/Config!$B$2)</f>
        <v/>
      </c>
      <c r="B11">
        <f>MOD(ROW()-2, Config!$B$2)</f>
        <v/>
      </c>
      <c r="C11">
        <f>IF($A11=0, INDEX(Inputs!$B$2:$B$100, $B11+1), INDEX($O:$O, ROW()-Config!$B$2))</f>
        <v/>
      </c>
      <c r="D11">
        <f>IF($A11=0, INDEX(Inputs!$C$2:$C$100, $B11+1), INDEX($M:$M, ROW()-Config!$B$2))</f>
        <v/>
      </c>
      <c r="E11">
        <f>INDEX(Nodes!$B$2:$B$100, $C11+1)</f>
        <v/>
      </c>
      <c r="F11">
        <f>MOD(SUMPRODUCT(MOD(MOD(INT($D11/Helpers!$B$2:$B$33),2)+MOD(INT($E11/Helpers!$B$2:$B$33),2),2)*Helpers!$B$2:$B$33), Config!$B$5)</f>
        <v/>
      </c>
      <c r="G11">
        <f>MOD(MOD($F11 + Hash!$D$2, Config!$B$5) + MOD($F11 * POWER(2, Hash!$G$2), Config!$B$5), Config!$B$5)</f>
        <v/>
      </c>
      <c r="H11">
        <f>MOD(SUMPRODUCT(MOD(MOD(INT(SUMPRODUCT(MOD(MOD(INT($G11/Helpers!$B$2:$B$33),2)+MOD(INT(Hash!$D$3/Helpers!$B$2:$B$33),2),2)*Helpers!$B$2:$B$33)/Helpers!$B$2:$B$33),2)+MOD(INT(INT($G11/POWER(2, Hash!$G$3))/Helpers!$B$2:$B$33),2),2)*Helpers!$B$2:$B$33), Config!$B$5)</f>
        <v/>
      </c>
      <c r="I11">
        <f>MOD(MOD($H11 + Hash!$D$4, Config!$B$5) + MOD($H11 * POWER(2, Hash!$G$4), Config!$B$5), Config!$B$5)</f>
        <v/>
      </c>
      <c r="J11">
        <f>MOD(SUMPRODUCT(MOD(MOD(INT(MOD($I11 + Hash!$D$5, Config!$B$5)/Helpers!$B$2:$B$33),2)+MOD(INT(MOD($I11 * POWER(2, Hash!$G$5), Config!$B$5)/Helpers!$B$2:$B$33),2),2)*Helpers!$B$2:$B$33), Config!$B$5)</f>
        <v/>
      </c>
      <c r="K11">
        <f>MOD(MOD($J11 + Hash!$D$6, Config!$B$5) + MOD($J11 * POWER(2, Hash!$G$6), Config!$B$5), Config!$B$5)</f>
        <v/>
      </c>
      <c r="L11">
        <f>MOD(SUMPRODUCT(MOD(MOD(INT(SUMPRODUCT(MOD(MOD(INT($K11/Helpers!$B$2:$B$33),2)+MOD(INT(Hash!$D$7/Helpers!$B$2:$B$33),2),2)*Helpers!$B$2:$B$33)/Helpers!$B$2:$B$33),2)+MOD(INT(INT($K11/POWER(2, Hash!$G$7))/Helpers!$B$2:$B$33),2),2)*Helpers!$B$2:$B$33), Config!$B$5)</f>
        <v/>
      </c>
      <c r="M11">
        <f>$L11</f>
        <v/>
      </c>
      <c r="N11">
        <f>2*$C11 + IF(MOD($M11, 2)=0, 1, 2)</f>
        <v/>
      </c>
      <c r="O11">
        <f>IF($N11 &gt;= Config!$B$4, 0, $N11)</f>
        <v/>
      </c>
    </row>
    <row r="12">
      <c r="A12">
        <f>INT((ROW()-2)/Config!$B$2)</f>
        <v/>
      </c>
      <c r="B12">
        <f>MOD(ROW()-2, Config!$B$2)</f>
        <v/>
      </c>
      <c r="C12">
        <f>IF($A12=0, INDEX(Inputs!$B$2:$B$100, $B12+1), INDEX($O:$O, ROW()-Config!$B$2))</f>
        <v/>
      </c>
      <c r="D12">
        <f>IF($A12=0, INDEX(Inputs!$C$2:$C$100, $B12+1), INDEX($M:$M, ROW()-Config!$B$2))</f>
        <v/>
      </c>
      <c r="E12">
        <f>INDEX(Nodes!$B$2:$B$100, $C12+1)</f>
        <v/>
      </c>
      <c r="F12">
        <f>MOD(SUMPRODUCT(MOD(MOD(INT($D12/Helpers!$B$2:$B$33),2)+MOD(INT($E12/Helpers!$B$2:$B$33),2),2)*Helpers!$B$2:$B$33), Config!$B$5)</f>
        <v/>
      </c>
      <c r="G12">
        <f>MOD(MOD($F12 + Hash!$D$2, Config!$B$5) + MOD($F12 * POWER(2, Hash!$G$2), Config!$B$5), Config!$B$5)</f>
        <v/>
      </c>
      <c r="H12">
        <f>MOD(SUMPRODUCT(MOD(MOD(INT(SUMPRODUCT(MOD(MOD(INT($G12/Helpers!$B$2:$B$33),2)+MOD(INT(Hash!$D$3/Helpers!$B$2:$B$33),2),2)*Helpers!$B$2:$B$33)/Helpers!$B$2:$B$33),2)+MOD(INT(INT($G12/POWER(2, Hash!$G$3))/Helpers!$B$2:$B$33),2),2)*Helpers!$B$2:$B$33), Config!$B$5)</f>
        <v/>
      </c>
      <c r="I12">
        <f>MOD(MOD($H12 + Hash!$D$4, Config!$B$5) + MOD($H12 * POWER(2, Hash!$G$4), Config!$B$5), Config!$B$5)</f>
        <v/>
      </c>
      <c r="J12">
        <f>MOD(SUMPRODUCT(MOD(MOD(INT(MOD($I12 + Hash!$D$5, Config!$B$5)/Helpers!$B$2:$B$33),2)+MOD(INT(MOD($I12 * POWER(2, Hash!$G$5), Config!$B$5)/Helpers!$B$2:$B$33),2),2)*Helpers!$B$2:$B$33), Config!$B$5)</f>
        <v/>
      </c>
      <c r="K12">
        <f>MOD(MOD($J12 + Hash!$D$6, Config!$B$5) + MOD($J12 * POWER(2, Hash!$G$6), Config!$B$5), Config!$B$5)</f>
        <v/>
      </c>
      <c r="L12">
        <f>MOD(SUMPRODUCT(MOD(MOD(INT(SUMPRODUCT(MOD(MOD(INT($K12/Helpers!$B$2:$B$33),2)+MOD(INT(Hash!$D$7/Helpers!$B$2:$B$33),2),2)*Helpers!$B$2:$B$33)/Helpers!$B$2:$B$33),2)+MOD(INT(INT($K12/POWER(2, Hash!$G$7))/Helpers!$B$2:$B$33),2),2)*Helpers!$B$2:$B$33), Config!$B$5)</f>
        <v/>
      </c>
      <c r="M12">
        <f>$L12</f>
        <v/>
      </c>
      <c r="N12">
        <f>2*$C12 + IF(MOD($M12, 2)=0, 1, 2)</f>
        <v/>
      </c>
      <c r="O12">
        <f>IF($N12 &gt;= Config!$B$4, 0, $N12)</f>
        <v/>
      </c>
    </row>
    <row r="13">
      <c r="A13">
        <f>INT((ROW()-2)/Config!$B$2)</f>
        <v/>
      </c>
      <c r="B13">
        <f>MOD(ROW()-2, Config!$B$2)</f>
        <v/>
      </c>
      <c r="C13">
        <f>IF($A13=0, INDEX(Inputs!$B$2:$B$100, $B13+1), INDEX($O:$O, ROW()-Config!$B$2))</f>
        <v/>
      </c>
      <c r="D13">
        <f>IF($A13=0, INDEX(Inputs!$C$2:$C$100, $B13+1), INDEX($M:$M, ROW()-Config!$B$2))</f>
        <v/>
      </c>
      <c r="E13">
        <f>INDEX(Nodes!$B$2:$B$100, $C13+1)</f>
        <v/>
      </c>
      <c r="F13">
        <f>MOD(SUMPRODUCT(MOD(MOD(INT($D13/Helpers!$B$2:$B$33),2)+MOD(INT($E13/Helpers!$B$2:$B$33),2),2)*Helpers!$B$2:$B$33), Config!$B$5)</f>
        <v/>
      </c>
      <c r="G13">
        <f>MOD(MOD($F13 + Hash!$D$2, Config!$B$5) + MOD($F13 * POWER(2, Hash!$G$2), Config!$B$5), Config!$B$5)</f>
        <v/>
      </c>
      <c r="H13">
        <f>MOD(SUMPRODUCT(MOD(MOD(INT(SUMPRODUCT(MOD(MOD(INT($G13/Helpers!$B$2:$B$33),2)+MOD(INT(Hash!$D$3/Helpers!$B$2:$B$33),2),2)*Helpers!$B$2:$B$33)/Helpers!$B$2:$B$33),2)+MOD(INT(INT($G13/POWER(2, Hash!$G$3))/Helpers!$B$2:$B$33),2),2)*Helpers!$B$2:$B$33), Config!$B$5)</f>
        <v/>
      </c>
      <c r="I13">
        <f>MOD(MOD($H13 + Hash!$D$4, Config!$B$5) + MOD($H13 * POWER(2, Hash!$G$4), Config!$B$5), Config!$B$5)</f>
        <v/>
      </c>
      <c r="J13">
        <f>MOD(SUMPRODUCT(MOD(MOD(INT(MOD($I13 + Hash!$D$5, Config!$B$5)/Helpers!$B$2:$B$33),2)+MOD(INT(MOD($I13 * POWER(2, Hash!$G$5), Config!$B$5)/Helpers!$B$2:$B$33),2),2)*Helpers!$B$2:$B$33), Config!$B$5)</f>
        <v/>
      </c>
      <c r="K13">
        <f>MOD(MOD($J13 + Hash!$D$6, Config!$B$5) + MOD($J13 * POWER(2, Hash!$G$6), Config!$B$5), Config!$B$5)</f>
        <v/>
      </c>
      <c r="L13">
        <f>MOD(SUMPRODUCT(MOD(MOD(INT(SUMPRODUCT(MOD(MOD(INT($K13/Helpers!$B$2:$B$33),2)+MOD(INT(Hash!$D$7/Helpers!$B$2:$B$33),2),2)*Helpers!$B$2:$B$33)/Helpers!$B$2:$B$33),2)+MOD(INT(INT($K13/POWER(2, Hash!$G$7))/Helpers!$B$2:$B$33),2),2)*Helpers!$B$2:$B$33), Config!$B$5)</f>
        <v/>
      </c>
      <c r="M13">
        <f>$L13</f>
        <v/>
      </c>
      <c r="N13">
        <f>2*$C13 + IF(MOD($M13, 2)=0, 1, 2)</f>
        <v/>
      </c>
      <c r="O13">
        <f>IF($N13 &gt;= Config!$B$4, 0, $N13)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2026-01-22T16:09:47Z</dcterms:created>
  <dcterms:modified xsi:type="dcterms:W3CDTF">2026-01-22T16:09:47Z</dcterms:modified>
</cp:coreProperties>
</file>